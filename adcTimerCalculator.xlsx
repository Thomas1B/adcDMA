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ma\STM32CubeIDE\workspace_2.1.1\adcDMA\"/>
    </mc:Choice>
  </mc:AlternateContent>
  <xr:revisionPtr revIDLastSave="0" documentId="13_ncr:1_{EECA7050-9530-4053-B8A3-52DB821915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F15" i="1" s="1"/>
  <c r="E15" i="1" s="1"/>
  <c r="B23" i="1"/>
  <c r="F23" i="1" s="1"/>
  <c r="E23" i="1" s="1"/>
  <c r="H28" i="1" l="1"/>
  <c r="C23" i="1"/>
  <c r="D23" i="1" s="1"/>
  <c r="H23" i="1" s="1"/>
  <c r="D29" i="1"/>
  <c r="B27" i="1"/>
  <c r="B30" i="1"/>
  <c r="D28" i="1"/>
  <c r="B33" i="1"/>
  <c r="B32" i="1"/>
  <c r="B29" i="1"/>
  <c r="B28" i="1"/>
  <c r="E28" i="1" s="1"/>
  <c r="F28" i="1" s="1"/>
  <c r="B34" i="1"/>
  <c r="B31" i="1"/>
  <c r="D34" i="1"/>
  <c r="D31" i="1"/>
  <c r="E31" i="1" s="1"/>
  <c r="F31" i="1" s="1"/>
  <c r="D27" i="1"/>
  <c r="E27" i="1" s="1"/>
  <c r="F27" i="1" s="1"/>
  <c r="D33" i="1"/>
  <c r="E33" i="1" s="1"/>
  <c r="F33" i="1" s="1"/>
  <c r="D32" i="1"/>
  <c r="E32" i="1" s="1"/>
  <c r="F32" i="1" s="1"/>
  <c r="D30" i="1"/>
  <c r="E30" i="1"/>
  <c r="F30" i="1" s="1"/>
  <c r="C15" i="1"/>
  <c r="D15" i="1" s="1"/>
  <c r="H15" i="1" s="1"/>
  <c r="E29" i="1" l="1"/>
  <c r="F29" i="1" s="1"/>
  <c r="G23" i="1"/>
  <c r="E34" i="1"/>
  <c r="F34" i="1" s="1"/>
  <c r="I28" i="1" s="1"/>
  <c r="G15" i="1"/>
</calcChain>
</file>

<file path=xl/sharedStrings.xml><?xml version="1.0" encoding="utf-8"?>
<sst xmlns="http://schemas.openxmlformats.org/spreadsheetml/2006/main" count="44" uniqueCount="35">
  <si>
    <t>ADC Settings</t>
  </si>
  <si>
    <t>Clock Configuration</t>
  </si>
  <si>
    <t>Clock Prescaler (PCLK divided by #)</t>
  </si>
  <si>
    <t>PCLK (MHz)</t>
  </si>
  <si>
    <t xml:space="preserve"> Check what Peripheral Clock  your timer is on (PCLK1 or PSCK2)</t>
  </si>
  <si>
    <t>Timer Settings</t>
  </si>
  <si>
    <t>Prescaller (PSC)</t>
  </si>
  <si>
    <t>Counter Period (AutoReload Register) ARR</t>
  </si>
  <si>
    <t>In STM32CubeMX, enter these as "# - 1"</t>
  </si>
  <si>
    <t>Sample Frequency</t>
  </si>
  <si>
    <t>(MHz)</t>
  </si>
  <si>
    <t>(KHz)</t>
  </si>
  <si>
    <t>(Hz)</t>
  </si>
  <si>
    <t>Number of Converion</t>
  </si>
  <si>
    <t>ADC Clock</t>
  </si>
  <si>
    <t>Frequency</t>
  </si>
  <si>
    <t>microseconds</t>
  </si>
  <si>
    <t>milliseconds</t>
  </si>
  <si>
    <t>seconds</t>
  </si>
  <si>
    <t>nanoseconds</t>
  </si>
  <si>
    <t>Time</t>
  </si>
  <si>
    <t>Time per cycle</t>
  </si>
  <si>
    <t>Frequency (cycles/second)</t>
  </si>
  <si>
    <t>How many ADC you are reading</t>
  </si>
  <si>
    <t>Drop down menu in STMCubeMX</t>
  </si>
  <si>
    <t>Result</t>
  </si>
  <si>
    <t>Sampling time (cycles)</t>
  </si>
  <si>
    <t>Sample time (microseconds)</t>
  </si>
  <si>
    <t>Conversion Time</t>
  </si>
  <si>
    <t>Total Time per ADC Device (microseconds)</t>
  </si>
  <si>
    <t>Total Time (microseconds)</t>
  </si>
  <si>
    <t>Max number of cycles to fit in (microseconds)</t>
  </si>
  <si>
    <t>Max # of Cycles</t>
  </si>
  <si>
    <t>Only enter values under the blue headings!</t>
  </si>
  <si>
    <t>This program is to help calculate frequencies and cycles for ADC with Timers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</si>
</sst>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3ED2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5" fontId="0" fillId="5" borderId="15" xfId="0" applyNumberForma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166" fontId="0" fillId="5" borderId="15" xfId="0" applyNumberFormat="1" applyFill="1" applyBorder="1" applyAlignment="1">
      <alignment horizontal="center" vertical="center"/>
    </xf>
    <xf numFmtId="2" fontId="0" fillId="5" borderId="16" xfId="0" applyNumberForma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64" fontId="0" fillId="5" borderId="16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ED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209549</xdr:colOff>
      <xdr:row>36</xdr:row>
      <xdr:rowOff>14287</xdr:rowOff>
    </xdr:from>
    <xdr:ext cx="5210176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A95CAC-E698-1DD6-8D87-7A305B521CCE}"/>
            </a:ext>
          </a:extLst>
        </xdr:cNvPr>
        <xdr:cNvSpPr txBox="1"/>
      </xdr:nvSpPr>
      <xdr:spPr>
        <a:xfrm>
          <a:off x="209549" y="6986587"/>
          <a:ext cx="52101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en-CA" sz="1100"/>
        </a:p>
      </xdr:txBody>
    </xdr:sp>
    <xdr:clientData/>
  </xdr:oneCellAnchor>
  <xdr:twoCellAnchor>
    <xdr:from>
      <xdr:col>1</xdr:col>
      <xdr:colOff>1495425</xdr:colOff>
      <xdr:row>36</xdr:row>
      <xdr:rowOff>42861</xdr:rowOff>
    </xdr:from>
    <xdr:to>
      <xdr:col>4</xdr:col>
      <xdr:colOff>1409700</xdr:colOff>
      <xdr:row>47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0BD543-F587-ED89-BC3B-6A3A7346FB45}"/>
                </a:ext>
              </a:extLst>
            </xdr:cNvPr>
            <xdr:cNvSpPr txBox="1"/>
          </xdr:nvSpPr>
          <xdr:spPr>
            <a:xfrm>
              <a:off x="3086100" y="7015161"/>
              <a:ext cx="4476750" cy="2062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𝑐𝑜𝑛𝑣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𝑆𝑎𝑚𝑝𝑖𝑛𝑔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𝑇𝑖𝑚𝑒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𝑐𝑦𝑐𝑙𝑒𝑠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)+12 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𝐶𝑦𝑐𝑙𝑒𝑠</m:t>
                        </m:r>
                      </m:e>
                    </m:d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𝐴𝐷𝐶</m:t>
                        </m:r>
                      </m:sub>
                    </m:sSub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𝐴𝐷𝐶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𝑃𝐶𝐿𝐾</m:t>
                        </m:r>
                      </m:num>
                      <m:den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den>
                    </m:f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𝐶𝑙𝑜𝑐𝑘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𝑃𝑟𝑒𝑠𝑐𝑎𝑙𝑒𝑟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(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𝑃𝑆𝐶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𝐴𝐷𝐶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𝑆𝑒𝑡𝑡𝑖𝑛𝑔𝑠</m:t>
                    </m:r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𝐴𝐷𝐶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𝐴𝐷𝐶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𝑠𝑎𝑚𝑝𝑙𝑒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𝐴𝐵𝑃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#</m:t>
                        </m:r>
                        <m:d>
                          <m:dPr>
                            <m:ctrlP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𝑀𝐻𝑧</m:t>
                            </m:r>
                          </m:e>
                        </m:d>
                      </m:num>
                      <m:den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𝑃𝑆𝐶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𝐴𝑅𝑅</m:t>
                        </m:r>
                      </m:den>
                    </m:f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 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𝐴𝑅𝑅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𝑡h𝑒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𝐴𝑢𝑡𝑜𝑅𝑒𝑙𝑜𝑎𝑑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𝑅𝑒𝑔𝑖𝑠𝑡𝑒𝑟</m:t>
                    </m:r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0BD543-F587-ED89-BC3B-6A3A7346FB45}"/>
                </a:ext>
              </a:extLst>
            </xdr:cNvPr>
            <xdr:cNvSpPr txBox="1"/>
          </xdr:nvSpPr>
          <xdr:spPr>
            <a:xfrm>
              <a:off x="3086100" y="7015161"/>
              <a:ext cx="4476750" cy="2062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𝑇_𝑐𝑜𝑛𝑣=(𝑆𝑎𝑚𝑝𝑖𝑛𝑔 𝑇𝑖𝑚𝑒 (𝑐𝑦𝑐𝑙𝑒𝑠)+12 𝐶𝑦𝑐𝑙𝑒𝑠)⋅𝑇_𝐴𝐷𝐶</a:t>
              </a:r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𝑓_𝐴𝐷𝐶=𝑃𝐶𝐿𝐾/𝑀,  𝑀 𝑖𝑠 𝐶𝑙𝑜𝑐𝑘 𝑃𝑟𝑒𝑠𝑐𝑎𝑙𝑒𝑟 (𝑃𝑆𝐶) 𝑖𝑛 𝐴𝐷𝐶 𝑆𝑒𝑡𝑡𝑖𝑛𝑔𝑠</a:t>
              </a:r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𝑇_𝐴𝐷𝐶=1/𝑓_𝐴𝐷𝐶 </a:t>
              </a:r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𝑓_𝑠𝑎𝑚𝑝𝑙𝑒=(𝐴𝐵𝑃#(𝑀𝐻𝑧))/(𝑃𝑆𝐶⋅𝐴𝑅𝑅),   𝐴𝑅𝑅 𝑖𝑠 𝑡ℎ𝑒 𝐴𝑢𝑡𝑜𝑅𝑒𝑙𝑜𝑎𝑑 𝑅𝑒𝑔𝑖𝑠𝑡𝑒𝑟</a:t>
              </a:r>
              <a:endParaRPr lang="en-CA">
                <a:effectLst/>
              </a:endParaRPr>
            </a:p>
            <a:p>
              <a:pPr algn="l"/>
              <a:endParaRPr lang="en-CA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selection activeCell="I9" sqref="I9"/>
    </sheetView>
  </sheetViews>
  <sheetFormatPr defaultRowHeight="15" x14ac:dyDescent="0.25"/>
  <cols>
    <col min="1" max="1" width="23.85546875" style="2" bestFit="1" customWidth="1"/>
    <col min="2" max="2" width="28.140625" style="1" customWidth="1"/>
    <col min="3" max="3" width="16" style="2" bestFit="1" customWidth="1"/>
    <col min="4" max="4" width="16" style="1" bestFit="1" customWidth="1"/>
    <col min="5" max="5" width="38.42578125" style="1" customWidth="1"/>
    <col min="6" max="6" width="24.28515625" style="1" customWidth="1"/>
    <col min="7" max="7" width="19.28515625" style="1" customWidth="1"/>
    <col min="8" max="8" width="26.28515625" style="1" customWidth="1"/>
    <col min="9" max="9" width="23.42578125" style="1" bestFit="1" customWidth="1"/>
    <col min="10" max="10" width="9.140625" style="1"/>
    <col min="11" max="11" width="11.85546875" style="1" customWidth="1"/>
    <col min="12" max="12" width="14.28515625" style="1" customWidth="1"/>
    <col min="13" max="13" width="16.140625" style="2" customWidth="1"/>
    <col min="14" max="14" width="14" style="2" customWidth="1"/>
    <col min="15" max="15" width="12.5703125" style="2" customWidth="1"/>
    <col min="16" max="16384" width="9.140625" style="1"/>
  </cols>
  <sheetData>
    <row r="1" spans="1:16" ht="15" customHeight="1" x14ac:dyDescent="0.25">
      <c r="A1" s="36" t="s">
        <v>34</v>
      </c>
      <c r="B1" s="36"/>
      <c r="C1" s="36"/>
      <c r="D1" s="36"/>
      <c r="E1" s="36"/>
      <c r="F1" s="33"/>
      <c r="G1" s="33"/>
    </row>
    <row r="2" spans="1:16" ht="15" customHeight="1" x14ac:dyDescent="0.25">
      <c r="A2" s="36"/>
      <c r="B2" s="36"/>
      <c r="C2" s="36"/>
      <c r="D2" s="36"/>
      <c r="E2" s="36"/>
      <c r="F2" s="33"/>
      <c r="G2" s="33"/>
    </row>
    <row r="3" spans="1:16" x14ac:dyDescent="0.25">
      <c r="A3" s="37" t="s">
        <v>33</v>
      </c>
      <c r="B3" s="37"/>
      <c r="C3" s="37"/>
      <c r="D3" s="37"/>
      <c r="E3" s="37"/>
    </row>
    <row r="4" spans="1:16" ht="15.75" thickBot="1" x14ac:dyDescent="0.3"/>
    <row r="5" spans="1:16" x14ac:dyDescent="0.25">
      <c r="A5" s="30">
        <v>1</v>
      </c>
      <c r="B5" s="61" t="s">
        <v>1</v>
      </c>
      <c r="C5" s="61"/>
      <c r="D5" s="54" t="s">
        <v>4</v>
      </c>
      <c r="E5" s="54"/>
      <c r="F5" s="54"/>
      <c r="G5" s="55"/>
    </row>
    <row r="6" spans="1:16" ht="15" customHeight="1" x14ac:dyDescent="0.25">
      <c r="A6" s="52" t="s">
        <v>3</v>
      </c>
      <c r="B6" s="53"/>
      <c r="C6" s="2">
        <v>90</v>
      </c>
      <c r="D6" s="56"/>
      <c r="E6" s="56"/>
      <c r="F6" s="56"/>
      <c r="G6" s="57"/>
    </row>
    <row r="7" spans="1:16" ht="15.75" thickBot="1" x14ac:dyDescent="0.3">
      <c r="A7" s="31"/>
      <c r="B7" s="32"/>
      <c r="C7" s="5"/>
      <c r="D7" s="58"/>
      <c r="E7" s="58"/>
      <c r="F7" s="58"/>
      <c r="G7" s="59"/>
    </row>
    <row r="8" spans="1:16" ht="15.75" thickBot="1" x14ac:dyDescent="0.3"/>
    <row r="9" spans="1:16" x14ac:dyDescent="0.25">
      <c r="A9" s="30">
        <v>2</v>
      </c>
      <c r="B9" s="61" t="s">
        <v>5</v>
      </c>
      <c r="C9" s="61"/>
      <c r="D9" s="34"/>
      <c r="E9" s="34"/>
      <c r="F9" s="34"/>
      <c r="G9" s="35"/>
    </row>
    <row r="10" spans="1:16" x14ac:dyDescent="0.25">
      <c r="A10" s="52" t="s">
        <v>6</v>
      </c>
      <c r="B10" s="53"/>
      <c r="C10" s="2">
        <v>90</v>
      </c>
      <c r="D10" s="50" t="s">
        <v>8</v>
      </c>
      <c r="E10" s="50"/>
      <c r="F10" s="50"/>
      <c r="G10" s="51"/>
      <c r="H10" s="3"/>
    </row>
    <row r="11" spans="1:16" ht="15.75" thickBot="1" x14ac:dyDescent="0.3">
      <c r="A11" s="42" t="s">
        <v>7</v>
      </c>
      <c r="B11" s="43"/>
      <c r="C11" s="5">
        <v>125</v>
      </c>
      <c r="D11" s="47"/>
      <c r="E11" s="47"/>
      <c r="F11" s="47"/>
      <c r="G11" s="60"/>
      <c r="J11" s="2"/>
      <c r="K11" s="2"/>
      <c r="L11" s="2"/>
      <c r="P11" s="2"/>
    </row>
    <row r="12" spans="1:16" ht="15.75" thickBot="1" x14ac:dyDescent="0.3">
      <c r="J12" s="2"/>
      <c r="K12" s="2"/>
      <c r="L12" s="2"/>
      <c r="P12" s="2"/>
    </row>
    <row r="13" spans="1:16" x14ac:dyDescent="0.25">
      <c r="A13" s="6" t="s">
        <v>25</v>
      </c>
      <c r="B13" s="46" t="s">
        <v>15</v>
      </c>
      <c r="C13" s="44"/>
      <c r="D13" s="44"/>
      <c r="E13" s="44" t="s">
        <v>20</v>
      </c>
      <c r="F13" s="44"/>
      <c r="G13" s="44"/>
      <c r="H13" s="45"/>
    </row>
    <row r="14" spans="1:16" x14ac:dyDescent="0.25">
      <c r="A14" s="11"/>
      <c r="B14" s="27" t="s">
        <v>10</v>
      </c>
      <c r="C14" s="8" t="s">
        <v>11</v>
      </c>
      <c r="D14" s="8" t="s">
        <v>12</v>
      </c>
      <c r="E14" s="8" t="s">
        <v>19</v>
      </c>
      <c r="F14" s="8" t="s">
        <v>16</v>
      </c>
      <c r="G14" s="8" t="s">
        <v>17</v>
      </c>
      <c r="H14" s="9" t="s">
        <v>18</v>
      </c>
    </row>
    <row r="15" spans="1:16" ht="15.75" thickBot="1" x14ac:dyDescent="0.3">
      <c r="A15" s="12" t="s">
        <v>9</v>
      </c>
      <c r="B15" s="22">
        <f>C6/(C10*C11)</f>
        <v>8.0000000000000002E-3</v>
      </c>
      <c r="C15" s="24">
        <f>B15*1000</f>
        <v>8</v>
      </c>
      <c r="D15" s="24">
        <f>C15*1000</f>
        <v>8000</v>
      </c>
      <c r="E15" s="24">
        <f>F15/1000</f>
        <v>0.125</v>
      </c>
      <c r="F15" s="24">
        <f>1/B15</f>
        <v>125</v>
      </c>
      <c r="G15" s="24">
        <f>1/C15</f>
        <v>0.125</v>
      </c>
      <c r="H15" s="29">
        <f>1/D15</f>
        <v>1.25E-4</v>
      </c>
    </row>
    <row r="16" spans="1:16" ht="15.75" thickBot="1" x14ac:dyDescent="0.3"/>
    <row r="17" spans="1:9" x14ac:dyDescent="0.25">
      <c r="A17" s="30">
        <v>3</v>
      </c>
      <c r="B17" s="61" t="s">
        <v>0</v>
      </c>
      <c r="C17" s="61"/>
      <c r="D17" s="34"/>
      <c r="E17" s="34"/>
      <c r="F17" s="34"/>
      <c r="G17" s="35"/>
    </row>
    <row r="18" spans="1:9" x14ac:dyDescent="0.25">
      <c r="A18" s="52" t="s">
        <v>2</v>
      </c>
      <c r="B18" s="53"/>
      <c r="C18" s="2">
        <v>4</v>
      </c>
      <c r="D18" s="50" t="s">
        <v>24</v>
      </c>
      <c r="E18" s="50"/>
      <c r="F18" s="50"/>
      <c r="G18" s="51"/>
    </row>
    <row r="19" spans="1:9" ht="15.75" thickBot="1" x14ac:dyDescent="0.3">
      <c r="A19" s="42" t="s">
        <v>13</v>
      </c>
      <c r="B19" s="43"/>
      <c r="C19" s="5">
        <v>3</v>
      </c>
      <c r="D19" s="47" t="s">
        <v>23</v>
      </c>
      <c r="E19" s="48"/>
      <c r="F19" s="48"/>
      <c r="G19" s="49"/>
    </row>
    <row r="20" spans="1:9" ht="15.75" thickBot="1" x14ac:dyDescent="0.3"/>
    <row r="21" spans="1:9" x14ac:dyDescent="0.25">
      <c r="A21" s="6" t="s">
        <v>25</v>
      </c>
      <c r="B21" s="46" t="s">
        <v>22</v>
      </c>
      <c r="C21" s="44"/>
      <c r="D21" s="44"/>
      <c r="E21" s="44" t="s">
        <v>21</v>
      </c>
      <c r="F21" s="44"/>
      <c r="G21" s="44"/>
      <c r="H21" s="45"/>
    </row>
    <row r="22" spans="1:9" x14ac:dyDescent="0.25">
      <c r="A22" s="7" t="s">
        <v>14</v>
      </c>
      <c r="B22" s="27" t="s">
        <v>10</v>
      </c>
      <c r="C22" s="8" t="s">
        <v>11</v>
      </c>
      <c r="D22" s="8" t="s">
        <v>12</v>
      </c>
      <c r="E22" s="8" t="s">
        <v>19</v>
      </c>
      <c r="F22" s="8" t="s">
        <v>16</v>
      </c>
      <c r="G22" s="8" t="s">
        <v>17</v>
      </c>
      <c r="H22" s="9" t="s">
        <v>18</v>
      </c>
    </row>
    <row r="23" spans="1:9" ht="15.75" thickBot="1" x14ac:dyDescent="0.3">
      <c r="A23" s="10"/>
      <c r="B23" s="22">
        <f>C6/C18</f>
        <v>22.5</v>
      </c>
      <c r="C23" s="24">
        <f>B23*1000</f>
        <v>22500</v>
      </c>
      <c r="D23" s="24">
        <f>C23*1000</f>
        <v>22500000</v>
      </c>
      <c r="E23" s="24">
        <f>F23/1000</f>
        <v>4.4444444444444447E-5</v>
      </c>
      <c r="F23" s="24">
        <f>1/B23</f>
        <v>4.4444444444444446E-2</v>
      </c>
      <c r="G23" s="24">
        <f>1/C23</f>
        <v>4.4444444444444447E-5</v>
      </c>
      <c r="H23" s="28">
        <f>1/D23</f>
        <v>4.4444444444444448E-8</v>
      </c>
    </row>
    <row r="25" spans="1:9" ht="15.75" thickBot="1" x14ac:dyDescent="0.3"/>
    <row r="26" spans="1:9" x14ac:dyDescent="0.25">
      <c r="A26" s="16" t="s">
        <v>26</v>
      </c>
      <c r="B26" s="17" t="s">
        <v>27</v>
      </c>
      <c r="C26" s="17" t="s">
        <v>28</v>
      </c>
      <c r="D26" s="18" t="s">
        <v>28</v>
      </c>
      <c r="E26" s="17" t="s">
        <v>29</v>
      </c>
      <c r="F26" s="19" t="s">
        <v>30</v>
      </c>
      <c r="H26" s="38" t="s">
        <v>31</v>
      </c>
      <c r="I26" s="40" t="s">
        <v>32</v>
      </c>
    </row>
    <row r="27" spans="1:9" x14ac:dyDescent="0.25">
      <c r="A27" s="20">
        <v>3</v>
      </c>
      <c r="B27" s="13">
        <f>A27*$F$23</f>
        <v>0.13333333333333333</v>
      </c>
      <c r="C27" s="14">
        <v>12</v>
      </c>
      <c r="D27" s="15">
        <f>C27*$F$23</f>
        <v>0.53333333333333333</v>
      </c>
      <c r="E27" s="13">
        <f>D27+B27</f>
        <v>0.66666666666666663</v>
      </c>
      <c r="F27" s="21">
        <f>$C$19*E27</f>
        <v>2</v>
      </c>
      <c r="H27" s="39"/>
      <c r="I27" s="41"/>
    </row>
    <row r="28" spans="1:9" ht="15.75" thickBot="1" x14ac:dyDescent="0.3">
      <c r="A28" s="20">
        <v>15</v>
      </c>
      <c r="B28" s="13">
        <f t="shared" ref="B28:B34" si="0">A28*$F$23</f>
        <v>0.66666666666666674</v>
      </c>
      <c r="C28" s="14">
        <v>12</v>
      </c>
      <c r="D28" s="15">
        <f t="shared" ref="D28:D34" si="1">C28*$F$23</f>
        <v>0.53333333333333333</v>
      </c>
      <c r="E28" s="13">
        <f t="shared" ref="E28:E34" si="2">D28+B28</f>
        <v>1.2000000000000002</v>
      </c>
      <c r="F28" s="21">
        <f t="shared" ref="F28:F34" si="3">$C$19*E28</f>
        <v>3.6000000000000005</v>
      </c>
      <c r="H28" s="22">
        <f>F15</f>
        <v>125</v>
      </c>
      <c r="I28" s="28">
        <f>_xlfn.MAXIFS(A27:A34, F27:F34, "&lt;"&amp;F15)</f>
        <v>480</v>
      </c>
    </row>
    <row r="29" spans="1:9" x14ac:dyDescent="0.25">
      <c r="A29" s="20">
        <v>28</v>
      </c>
      <c r="B29" s="13">
        <f t="shared" si="0"/>
        <v>1.2444444444444445</v>
      </c>
      <c r="C29" s="14">
        <v>12</v>
      </c>
      <c r="D29" s="15">
        <f t="shared" si="1"/>
        <v>0.53333333333333333</v>
      </c>
      <c r="E29" s="13">
        <f t="shared" si="2"/>
        <v>1.7777777777777777</v>
      </c>
      <c r="F29" s="21">
        <f t="shared" si="3"/>
        <v>5.333333333333333</v>
      </c>
    </row>
    <row r="30" spans="1:9" x14ac:dyDescent="0.25">
      <c r="A30" s="20">
        <v>56</v>
      </c>
      <c r="B30" s="13">
        <f t="shared" si="0"/>
        <v>2.4888888888888889</v>
      </c>
      <c r="C30" s="14">
        <v>12</v>
      </c>
      <c r="D30" s="15">
        <f t="shared" si="1"/>
        <v>0.53333333333333333</v>
      </c>
      <c r="E30" s="13">
        <f t="shared" si="2"/>
        <v>3.0222222222222221</v>
      </c>
      <c r="F30" s="21">
        <f t="shared" si="3"/>
        <v>9.0666666666666664</v>
      </c>
    </row>
    <row r="31" spans="1:9" x14ac:dyDescent="0.25">
      <c r="A31" s="20">
        <v>84</v>
      </c>
      <c r="B31" s="13">
        <f t="shared" si="0"/>
        <v>3.7333333333333334</v>
      </c>
      <c r="C31" s="14">
        <v>12</v>
      </c>
      <c r="D31" s="15">
        <f t="shared" si="1"/>
        <v>0.53333333333333333</v>
      </c>
      <c r="E31" s="13">
        <f t="shared" si="2"/>
        <v>4.2666666666666666</v>
      </c>
      <c r="F31" s="21">
        <f t="shared" si="3"/>
        <v>12.8</v>
      </c>
    </row>
    <row r="32" spans="1:9" x14ac:dyDescent="0.25">
      <c r="A32" s="20">
        <v>112</v>
      </c>
      <c r="B32" s="13">
        <f t="shared" si="0"/>
        <v>4.9777777777777779</v>
      </c>
      <c r="C32" s="14">
        <v>12</v>
      </c>
      <c r="D32" s="15">
        <f t="shared" si="1"/>
        <v>0.53333333333333333</v>
      </c>
      <c r="E32" s="13">
        <f t="shared" si="2"/>
        <v>5.5111111111111111</v>
      </c>
      <c r="F32" s="21">
        <f t="shared" si="3"/>
        <v>16.533333333333331</v>
      </c>
    </row>
    <row r="33" spans="1:6" x14ac:dyDescent="0.25">
      <c r="A33" s="20">
        <v>144</v>
      </c>
      <c r="B33" s="13">
        <f t="shared" si="0"/>
        <v>6.4</v>
      </c>
      <c r="C33" s="14">
        <v>12</v>
      </c>
      <c r="D33" s="15">
        <f t="shared" si="1"/>
        <v>0.53333333333333333</v>
      </c>
      <c r="E33" s="13">
        <f t="shared" si="2"/>
        <v>6.9333333333333336</v>
      </c>
      <c r="F33" s="21">
        <f t="shared" si="3"/>
        <v>20.8</v>
      </c>
    </row>
    <row r="34" spans="1:6" ht="15.75" thickBot="1" x14ac:dyDescent="0.3">
      <c r="A34" s="22">
        <v>480</v>
      </c>
      <c r="B34" s="23">
        <f t="shared" si="0"/>
        <v>21.333333333333336</v>
      </c>
      <c r="C34" s="24">
        <v>12</v>
      </c>
      <c r="D34" s="25">
        <f t="shared" si="1"/>
        <v>0.53333333333333333</v>
      </c>
      <c r="E34" s="23">
        <f t="shared" si="2"/>
        <v>21.866666666666671</v>
      </c>
      <c r="F34" s="26">
        <f t="shared" si="3"/>
        <v>65.600000000000009</v>
      </c>
    </row>
    <row r="36" spans="1:6" x14ac:dyDescent="0.25">
      <c r="A36" s="4"/>
    </row>
  </sheetData>
  <mergeCells count="20">
    <mergeCell ref="A6:B6"/>
    <mergeCell ref="B17:C17"/>
    <mergeCell ref="B5:C5"/>
    <mergeCell ref="B9:C9"/>
    <mergeCell ref="A1:E2"/>
    <mergeCell ref="A3:E3"/>
    <mergeCell ref="H26:H27"/>
    <mergeCell ref="I26:I27"/>
    <mergeCell ref="A19:B19"/>
    <mergeCell ref="E21:H21"/>
    <mergeCell ref="B21:D21"/>
    <mergeCell ref="B13:D13"/>
    <mergeCell ref="E13:H13"/>
    <mergeCell ref="D19:G19"/>
    <mergeCell ref="D18:G18"/>
    <mergeCell ref="A18:B18"/>
    <mergeCell ref="A10:B10"/>
    <mergeCell ref="A11:B11"/>
    <mergeCell ref="D5:G7"/>
    <mergeCell ref="D10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Bourgeois</dc:creator>
  <cp:lastModifiedBy>Thomas Bourgeois</cp:lastModifiedBy>
  <dcterms:created xsi:type="dcterms:W3CDTF">2015-06-05T18:17:20Z</dcterms:created>
  <dcterms:modified xsi:type="dcterms:W3CDTF">2026-04-27T21:12:37Z</dcterms:modified>
</cp:coreProperties>
</file>